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estadistica\"/>
    </mc:Choice>
  </mc:AlternateContent>
  <xr:revisionPtr revIDLastSave="0" documentId="13_ncr:1_{78AA28A6-B31C-4A52-ABC7-B7D19D342385}" xr6:coauthVersionLast="47" xr6:coauthVersionMax="47" xr10:uidLastSave="{00000000-0000-0000-0000-000000000000}"/>
  <bookViews>
    <workbookView xWindow="-108" yWindow="-108" windowWidth="23256" windowHeight="12576" xr2:uid="{5A78340C-38A2-4A9A-841C-8F71A1D69F05}"/>
  </bookViews>
  <sheets>
    <sheet name="Hoja1" sheetId="1" r:id="rId1"/>
    <sheet name="Hoja2" sheetId="2" r:id="rId2"/>
  </sheets>
  <definedNames>
    <definedName name="_xlchart.v1.0" hidden="1">Hoja1!$B$37:$B$66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1" l="1"/>
  <c r="F85" i="1"/>
  <c r="M22" i="1" l="1"/>
  <c r="M23" i="1" s="1"/>
  <c r="H22" i="1"/>
  <c r="H21" i="1"/>
  <c r="F22" i="1"/>
  <c r="F21" i="1"/>
  <c r="M21" i="1"/>
  <c r="K22" i="1"/>
  <c r="K21" i="1"/>
  <c r="F20" i="1"/>
  <c r="M20" i="1"/>
  <c r="K20" i="1"/>
  <c r="H20" i="1"/>
  <c r="K23" i="1" l="1"/>
  <c r="H23" i="1"/>
  <c r="F23" i="1"/>
</calcChain>
</file>

<file path=xl/sharedStrings.xml><?xml version="1.0" encoding="utf-8"?>
<sst xmlns="http://schemas.openxmlformats.org/spreadsheetml/2006/main" count="103" uniqueCount="45">
  <si>
    <t>Grupo de control</t>
  </si>
  <si>
    <t>Nivel glucosa basal</t>
  </si>
  <si>
    <t>Nivel glucosa 60 min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</si>
  <si>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</si>
  <si>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</si>
  <si>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</si>
  <si>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</si>
  <si>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</si>
  <si>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</si>
  <si>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</si>
  <si>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</si>
  <si>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</si>
  <si>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</si>
  <si>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</si>
  <si>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</si>
  <si>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</si>
  <si>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MEDIDAS DE CENTRALIZACIÓN Y DISPERSIÓN - GRUPO 1</t>
  </si>
  <si>
    <t>MEDIDAS DE CENTRALIZACIÓN Y DISPERSIÓN - GRUPO 2</t>
  </si>
  <si>
    <t>Coeficiente de variación</t>
  </si>
  <si>
    <t>Q1</t>
  </si>
  <si>
    <t>Q3</t>
  </si>
  <si>
    <t>Rango intercuartílico</t>
  </si>
  <si>
    <t>Estadísticas de la regresión</t>
  </si>
  <si>
    <t>Coeficiente de correlación múltiple</t>
  </si>
  <si>
    <t>Coeficiente de determinación R^2</t>
  </si>
  <si>
    <t>R^2  ajustado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</si>
  <si>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</si>
  <si>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</si>
  <si>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</si>
  <si>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</si>
  <si>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</si>
  <si>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</si>
  <si>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</si>
  <si>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</si>
  <si>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</si>
  <si>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</si>
  <si>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</si>
  <si>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</si>
  <si>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</si>
  <si>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</si>
  <si>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</si>
  <si>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</si>
  <si>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</si>
  <si>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</si>
  <si>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Covarianza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</si>
</sst>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3" xfId="0" applyFont="1" applyBorder="1" applyAlignment="1">
      <alignment horizontal="center"/>
    </xf>
    <xf numFmtId="0" fontId="0" fillId="0" borderId="5" xfId="0" applyBorder="1"/>
    <xf numFmtId="1" fontId="0" fillId="0" borderId="0" xfId="0" applyNumberFormat="1"/>
    <xf numFmtId="0" fontId="0" fillId="0" borderId="4" xfId="0" applyBorder="1"/>
    <xf numFmtId="0" fontId="2" fillId="0" borderId="3" xfId="0" applyFont="1" applyBorder="1" applyAlignment="1">
      <alignment horizontal="centerContinuous"/>
    </xf>
    <xf numFmtId="0" fontId="0" fillId="0" borderId="2" xfId="0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Grupo de control 1:</a:t>
            </a:r>
            <a:r>
              <a:rPr lang="es-ES" b="1" baseline="0"/>
              <a:t> </a:t>
            </a:r>
          </a:p>
          <a:p>
            <a:pPr>
              <a:defRPr/>
            </a:pPr>
            <a:r>
              <a:rPr lang="es-ES" b="1" baseline="0"/>
              <a:t>Relación Nivel glucosa basal - Nivel glucosa 60 min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Hoja1!$B$2:$B$36</c:f>
              <c:numCache>
                <c:formatCode>General</c:formatCode>
                <c:ptCount val="35"/>
                <c:pt idx="0">
                  <c:v>90</c:v>
                </c:pt>
                <c:pt idx="1">
                  <c:v>82</c:v>
                </c:pt>
                <c:pt idx="2">
                  <c:v>80</c:v>
                </c:pt>
                <c:pt idx="3">
                  <c:v>75</c:v>
                </c:pt>
                <c:pt idx="4">
                  <c:v>74</c:v>
                </c:pt>
                <c:pt idx="5">
                  <c:v>97</c:v>
                </c:pt>
                <c:pt idx="6">
                  <c:v>103</c:v>
                </c:pt>
                <c:pt idx="7">
                  <c:v>76</c:v>
                </c:pt>
                <c:pt idx="8">
                  <c:v>65</c:v>
                </c:pt>
                <c:pt idx="9">
                  <c:v>89</c:v>
                </c:pt>
                <c:pt idx="10">
                  <c:v>83</c:v>
                </c:pt>
                <c:pt idx="11">
                  <c:v>77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78</c:v>
                </c:pt>
                <c:pt idx="16">
                  <c:v>79</c:v>
                </c:pt>
                <c:pt idx="17">
                  <c:v>100</c:v>
                </c:pt>
                <c:pt idx="18">
                  <c:v>81</c:v>
                </c:pt>
                <c:pt idx="19">
                  <c:v>93</c:v>
                </c:pt>
                <c:pt idx="20">
                  <c:v>75</c:v>
                </c:pt>
                <c:pt idx="21">
                  <c:v>89</c:v>
                </c:pt>
                <c:pt idx="22">
                  <c:v>76</c:v>
                </c:pt>
                <c:pt idx="23">
                  <c:v>85</c:v>
                </c:pt>
                <c:pt idx="24">
                  <c:v>99</c:v>
                </c:pt>
                <c:pt idx="25">
                  <c:v>79</c:v>
                </c:pt>
                <c:pt idx="26">
                  <c:v>90</c:v>
                </c:pt>
                <c:pt idx="27">
                  <c:v>86</c:v>
                </c:pt>
                <c:pt idx="28">
                  <c:v>94</c:v>
                </c:pt>
                <c:pt idx="29">
                  <c:v>91</c:v>
                </c:pt>
                <c:pt idx="30">
                  <c:v>82</c:v>
                </c:pt>
                <c:pt idx="31">
                  <c:v>81</c:v>
                </c:pt>
                <c:pt idx="32">
                  <c:v>97</c:v>
                </c:pt>
                <c:pt idx="33">
                  <c:v>75</c:v>
                </c:pt>
                <c:pt idx="34">
                  <c:v>79</c:v>
                </c:pt>
              </c:numCache>
            </c:numRef>
          </c:xVal>
          <c:yVal>
            <c:numRef>
              <c:f>Hoja1!$C$2:$C$36</c:f>
              <c:numCache>
                <c:formatCode>General</c:formatCode>
                <c:ptCount val="35"/>
                <c:pt idx="0">
                  <c:v>159</c:v>
                </c:pt>
                <c:pt idx="1">
                  <c:v>151</c:v>
                </c:pt>
                <c:pt idx="2">
                  <c:v>148</c:v>
                </c:pt>
                <c:pt idx="3">
                  <c:v>138</c:v>
                </c:pt>
                <c:pt idx="4">
                  <c:v>141</c:v>
                </c:pt>
                <c:pt idx="5">
                  <c:v>157</c:v>
                </c:pt>
                <c:pt idx="6">
                  <c:v>172</c:v>
                </c:pt>
                <c:pt idx="7">
                  <c:v>150</c:v>
                </c:pt>
                <c:pt idx="8">
                  <c:v>131</c:v>
                </c:pt>
                <c:pt idx="9">
                  <c:v>156</c:v>
                </c:pt>
                <c:pt idx="10">
                  <c:v>147</c:v>
                </c:pt>
                <c:pt idx="11">
                  <c:v>141</c:v>
                </c:pt>
                <c:pt idx="12">
                  <c:v>147</c:v>
                </c:pt>
                <c:pt idx="13">
                  <c:v>150</c:v>
                </c:pt>
                <c:pt idx="14">
                  <c:v>146</c:v>
                </c:pt>
                <c:pt idx="15">
                  <c:v>151</c:v>
                </c:pt>
                <c:pt idx="16">
                  <c:v>154</c:v>
                </c:pt>
                <c:pt idx="17">
                  <c:v>161</c:v>
                </c:pt>
                <c:pt idx="18">
                  <c:v>150</c:v>
                </c:pt>
                <c:pt idx="19">
                  <c:v>149</c:v>
                </c:pt>
                <c:pt idx="20">
                  <c:v>148</c:v>
                </c:pt>
                <c:pt idx="21">
                  <c:v>165</c:v>
                </c:pt>
                <c:pt idx="22">
                  <c:v>144</c:v>
                </c:pt>
                <c:pt idx="23">
                  <c:v>149</c:v>
                </c:pt>
                <c:pt idx="24">
                  <c:v>160</c:v>
                </c:pt>
                <c:pt idx="25">
                  <c:v>145</c:v>
                </c:pt>
                <c:pt idx="26">
                  <c:v>148</c:v>
                </c:pt>
                <c:pt idx="27">
                  <c:v>150</c:v>
                </c:pt>
                <c:pt idx="28">
                  <c:v>152</c:v>
                </c:pt>
                <c:pt idx="29">
                  <c:v>155</c:v>
                </c:pt>
                <c:pt idx="30">
                  <c:v>145</c:v>
                </c:pt>
                <c:pt idx="31">
                  <c:v>150</c:v>
                </c:pt>
                <c:pt idx="32">
                  <c:v>159</c:v>
                </c:pt>
                <c:pt idx="33">
                  <c:v>149</c:v>
                </c:pt>
                <c:pt idx="34">
                  <c:v>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6F-40B3-8173-80B94318D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825776"/>
        <c:axId val="652805616"/>
      </c:scatterChart>
      <c:valAx>
        <c:axId val="652825776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2805616"/>
        <c:crosses val="autoZero"/>
        <c:crossBetween val="midCat"/>
      </c:valAx>
      <c:valAx>
        <c:axId val="65280561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282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Nivel glucosa basal - Grupo de control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1" i="0" u="none" strike="noStrike" baseline="0">
              <a:solidFill>
                <a:schemeClr val="tx1"/>
              </a:solidFill>
              <a:latin typeface="Calibri" panose="020F0502020204030204"/>
            </a:rPr>
            <a:t>Nivel glucosa basal - Grupo de control 2</a:t>
          </a:r>
        </a:p>
      </cx:txPr>
    </cx:title>
    <cx:plotArea>
      <cx:plotAreaRegion>
        <cx:series layoutId="clusteredColumn" uniqueId="{9CE83444-C6E1-4E20-9863-14F080BF14C8}">
          <cx:spPr>
            <a:solidFill>
              <a:schemeClr val="accent2">
                <a:lumMod val="75000"/>
              </a:schemeClr>
            </a:solidFill>
            <a:ln>
              <a:noFill/>
            </a:ln>
          </cx:spPr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endParaRPr lang="es-ES" sz="9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</xdr:colOff>
      <xdr:row>24</xdr:row>
      <xdr:rowOff>1457</xdr:rowOff>
    </xdr:from>
    <xdr:to>
      <xdr:col>10</xdr:col>
      <xdr:colOff>152400</xdr:colOff>
      <xdr:row>48</xdr:row>
      <xdr:rowOff>3361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F6E984E6-3096-5193-0C80-4D1E73A678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8172" y="4421057"/>
              <a:ext cx="7070408" cy="4391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784413</xdr:colOff>
      <xdr:row>49</xdr:row>
      <xdr:rowOff>8963</xdr:rowOff>
    </xdr:from>
    <xdr:to>
      <xdr:col>10</xdr:col>
      <xdr:colOff>116542</xdr:colOff>
      <xdr:row>65</xdr:row>
      <xdr:rowOff>62754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32CEC1-45DB-AECD-34C8-5EAF6B926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A25C-23E5-41D2-9543-84F744AE2E61}">
  <dimension ref="A1:M85"/>
  <sheetViews>
    <sheetView tabSelected="1" zoomScale="85" zoomScaleNormal="85" workbookViewId="0">
      <selection activeCell="G70" sqref="G70"/>
    </sheetView>
  </sheetViews>
  <sheetFormatPr baseColWidth="10" defaultRowHeight="14.4" x14ac:dyDescent="0.3"/>
  <cols>
    <col min="1" max="1" width="17.33203125" customWidth="1"/>
    <col min="2" max="2" width="17.44140625" customWidth="1"/>
    <col min="3" max="3" width="18" customWidth="1"/>
    <col min="5" max="5" width="22.77734375" customWidth="1"/>
    <col min="7" max="7" width="20.5546875" customWidth="1"/>
    <col min="10" max="10" width="23.109375" customWidth="1"/>
    <col min="12" max="12" width="23.77734375" customWidth="1"/>
  </cols>
  <sheetData>
    <row r="1" spans="1:13" x14ac:dyDescent="0.3">
      <c r="A1" s="1" t="s">
        <v>0</v>
      </c>
      <c r="B1" s="1" t="s">
        <v>1</v>
      </c>
      <c r="C1" s="1" t="s">
        <v>2</v>
      </c>
    </row>
    <row r="2" spans="1:13" ht="15.6" x14ac:dyDescent="0.3">
      <c r="A2">
        <v>1</v>
      </c>
      <c r="B2">
        <v>90</v>
      </c>
      <c r="C2">
        <v>159</v>
      </c>
      <c r="E2" s="9" t="s">
        <v>16</v>
      </c>
      <c r="F2" s="9"/>
      <c r="G2" s="9"/>
      <c r="H2" s="9"/>
      <c r="J2" s="9" t="s">
        <v>17</v>
      </c>
      <c r="K2" s="9"/>
      <c r="L2" s="9"/>
      <c r="M2" s="9"/>
    </row>
    <row r="3" spans="1:13" ht="15" thickBot="1" x14ac:dyDescent="0.35">
      <c r="A3">
        <v>1</v>
      </c>
      <c r="B3">
        <v>82</v>
      </c>
      <c r="C3">
        <v>151</v>
      </c>
    </row>
    <row r="4" spans="1:13" x14ac:dyDescent="0.3">
      <c r="A4">
        <v>1</v>
      </c>
      <c r="B4">
        <v>80</v>
      </c>
      <c r="C4">
        <v>148</v>
      </c>
      <c r="E4" s="3" t="s">
        <v>1</v>
      </c>
      <c r="F4" s="3"/>
      <c r="G4" s="3" t="s">
        <v>2</v>
      </c>
      <c r="H4" s="3"/>
      <c r="J4" s="3" t="s">
        <v>1</v>
      </c>
      <c r="K4" s="3"/>
      <c r="L4" s="3" t="s">
        <v>2</v>
      </c>
      <c r="M4" s="3"/>
    </row>
    <row r="5" spans="1:13" x14ac:dyDescent="0.3">
      <c r="A5">
        <v>1</v>
      </c>
      <c r="B5">
        <v>75</v>
      </c>
      <c r="C5">
        <v>138</v>
      </c>
    </row>
    <row r="6" spans="1:13" x14ac:dyDescent="0.3">
      <c r="A6">
        <v>1</v>
      </c>
      <c r="B6">
        <v>74</v>
      </c>
      <c r="C6">
        <v>141</v>
      </c>
      <c r="E6" t="s">
        <v>3</v>
      </c>
      <c r="F6">
        <v>84.685714285714283</v>
      </c>
      <c r="G6" t="s">
        <v>3</v>
      </c>
      <c r="H6">
        <v>150.4</v>
      </c>
      <c r="J6" t="s">
        <v>3</v>
      </c>
      <c r="K6">
        <v>89.4</v>
      </c>
      <c r="L6" t="s">
        <v>3</v>
      </c>
      <c r="M6">
        <v>171.83333333333334</v>
      </c>
    </row>
    <row r="7" spans="1:13" x14ac:dyDescent="0.3">
      <c r="A7">
        <v>1</v>
      </c>
      <c r="B7">
        <v>97</v>
      </c>
      <c r="C7">
        <v>157</v>
      </c>
      <c r="E7" t="s">
        <v>4</v>
      </c>
      <c r="F7">
        <v>1.4949615259215201</v>
      </c>
      <c r="G7" t="s">
        <v>4</v>
      </c>
      <c r="H7">
        <v>1.3081515601036757</v>
      </c>
      <c r="J7" t="s">
        <v>4</v>
      </c>
      <c r="K7">
        <v>1.3412980503117546</v>
      </c>
      <c r="L7" t="s">
        <v>4</v>
      </c>
      <c r="M7">
        <v>2.0069324297987157</v>
      </c>
    </row>
    <row r="8" spans="1:13" x14ac:dyDescent="0.3">
      <c r="A8">
        <v>1</v>
      </c>
      <c r="B8">
        <v>103</v>
      </c>
      <c r="C8">
        <v>172</v>
      </c>
      <c r="E8" t="s">
        <v>5</v>
      </c>
      <c r="F8">
        <v>82</v>
      </c>
      <c r="G8" t="s">
        <v>5</v>
      </c>
      <c r="H8">
        <v>150</v>
      </c>
      <c r="J8" t="s">
        <v>5</v>
      </c>
      <c r="K8">
        <v>90</v>
      </c>
      <c r="L8" t="s">
        <v>5</v>
      </c>
      <c r="M8">
        <v>172</v>
      </c>
    </row>
    <row r="9" spans="1:13" x14ac:dyDescent="0.3">
      <c r="A9">
        <v>1</v>
      </c>
      <c r="B9">
        <v>76</v>
      </c>
      <c r="C9">
        <v>150</v>
      </c>
      <c r="E9" t="s">
        <v>6</v>
      </c>
      <c r="F9">
        <v>90</v>
      </c>
      <c r="G9" t="s">
        <v>6</v>
      </c>
      <c r="H9">
        <v>150</v>
      </c>
      <c r="J9" t="s">
        <v>6</v>
      </c>
      <c r="K9">
        <v>88</v>
      </c>
      <c r="L9" t="s">
        <v>6</v>
      </c>
      <c r="M9">
        <v>172</v>
      </c>
    </row>
    <row r="10" spans="1:13" x14ac:dyDescent="0.3">
      <c r="A10">
        <v>1</v>
      </c>
      <c r="B10">
        <v>65</v>
      </c>
      <c r="C10">
        <v>131</v>
      </c>
      <c r="E10" t="s">
        <v>7</v>
      </c>
      <c r="F10">
        <v>8.8443116600160572</v>
      </c>
      <c r="G10" t="s">
        <v>7</v>
      </c>
      <c r="H10">
        <v>7.7391289979595781</v>
      </c>
      <c r="J10" t="s">
        <v>7</v>
      </c>
      <c r="K10">
        <v>7.3465919849344727</v>
      </c>
      <c r="L10" t="s">
        <v>7</v>
      </c>
      <c r="M10">
        <v>10.992421631894098</v>
      </c>
    </row>
    <row r="11" spans="1:13" x14ac:dyDescent="0.3">
      <c r="A11">
        <v>1</v>
      </c>
      <c r="B11">
        <v>89</v>
      </c>
      <c r="C11">
        <v>156</v>
      </c>
      <c r="E11" t="s">
        <v>8</v>
      </c>
      <c r="F11">
        <v>78.221848739495996</v>
      </c>
      <c r="G11" t="s">
        <v>8</v>
      </c>
      <c r="H11">
        <v>59.894117647058827</v>
      </c>
      <c r="J11" t="s">
        <v>8</v>
      </c>
      <c r="K11">
        <v>53.972413793103442</v>
      </c>
      <c r="L11" t="s">
        <v>8</v>
      </c>
      <c r="M11">
        <v>120.83333333333331</v>
      </c>
    </row>
    <row r="12" spans="1:13" x14ac:dyDescent="0.3">
      <c r="A12">
        <v>1</v>
      </c>
      <c r="B12">
        <v>83</v>
      </c>
      <c r="C12">
        <v>147</v>
      </c>
      <c r="E12" t="s">
        <v>9</v>
      </c>
      <c r="F12">
        <v>-0.49684666694186203</v>
      </c>
      <c r="G12" t="s">
        <v>9</v>
      </c>
      <c r="H12">
        <v>1.4516000571881333</v>
      </c>
      <c r="J12" t="s">
        <v>9</v>
      </c>
      <c r="K12">
        <v>-0.6126607185115609</v>
      </c>
      <c r="L12" t="s">
        <v>9</v>
      </c>
      <c r="M12">
        <v>-0.42869340393502942</v>
      </c>
    </row>
    <row r="13" spans="1:13" x14ac:dyDescent="0.3">
      <c r="A13">
        <v>1</v>
      </c>
      <c r="B13">
        <v>77</v>
      </c>
      <c r="C13">
        <v>141</v>
      </c>
      <c r="E13" t="s">
        <v>10</v>
      </c>
      <c r="F13">
        <v>0.20676855811665826</v>
      </c>
      <c r="G13" t="s">
        <v>10</v>
      </c>
      <c r="H13">
        <v>0.363681073216228</v>
      </c>
      <c r="J13" t="s">
        <v>10</v>
      </c>
      <c r="K13">
        <v>-7.4690466509213802E-3</v>
      </c>
      <c r="L13" t="s">
        <v>10</v>
      </c>
      <c r="M13">
        <v>0.24586637809749695</v>
      </c>
    </row>
    <row r="14" spans="1:13" x14ac:dyDescent="0.3">
      <c r="A14">
        <v>1</v>
      </c>
      <c r="B14">
        <v>92</v>
      </c>
      <c r="C14">
        <v>147</v>
      </c>
      <c r="E14" t="s">
        <v>11</v>
      </c>
      <c r="F14">
        <v>38</v>
      </c>
      <c r="G14" t="s">
        <v>11</v>
      </c>
      <c r="H14">
        <v>41</v>
      </c>
      <c r="J14" t="s">
        <v>11</v>
      </c>
      <c r="K14">
        <v>27</v>
      </c>
      <c r="L14" t="s">
        <v>11</v>
      </c>
      <c r="M14">
        <v>45</v>
      </c>
    </row>
    <row r="15" spans="1:13" x14ac:dyDescent="0.3">
      <c r="A15">
        <v>1</v>
      </c>
      <c r="B15">
        <v>90</v>
      </c>
      <c r="C15">
        <v>150</v>
      </c>
      <c r="E15" t="s">
        <v>12</v>
      </c>
      <c r="F15">
        <v>65</v>
      </c>
      <c r="G15" t="s">
        <v>12</v>
      </c>
      <c r="H15">
        <v>131</v>
      </c>
      <c r="J15" t="s">
        <v>12</v>
      </c>
      <c r="K15">
        <v>77</v>
      </c>
      <c r="L15" t="s">
        <v>12</v>
      </c>
      <c r="M15">
        <v>152</v>
      </c>
    </row>
    <row r="16" spans="1:13" x14ac:dyDescent="0.3">
      <c r="A16">
        <v>1</v>
      </c>
      <c r="B16">
        <v>82</v>
      </c>
      <c r="C16">
        <v>146</v>
      </c>
      <c r="E16" t="s">
        <v>13</v>
      </c>
      <c r="F16">
        <v>103</v>
      </c>
      <c r="G16" t="s">
        <v>13</v>
      </c>
      <c r="H16">
        <v>172</v>
      </c>
      <c r="J16" t="s">
        <v>13</v>
      </c>
      <c r="K16">
        <v>104</v>
      </c>
      <c r="L16" t="s">
        <v>13</v>
      </c>
      <c r="M16">
        <v>197</v>
      </c>
    </row>
    <row r="17" spans="1:13" x14ac:dyDescent="0.3">
      <c r="A17">
        <v>1</v>
      </c>
      <c r="B17">
        <v>78</v>
      </c>
      <c r="C17">
        <v>151</v>
      </c>
      <c r="E17" t="s">
        <v>14</v>
      </c>
      <c r="F17">
        <v>2964</v>
      </c>
      <c r="G17" t="s">
        <v>14</v>
      </c>
      <c r="H17">
        <v>5264</v>
      </c>
      <c r="J17" t="s">
        <v>14</v>
      </c>
      <c r="K17">
        <v>2682</v>
      </c>
      <c r="L17" t="s">
        <v>14</v>
      </c>
      <c r="M17">
        <v>5155</v>
      </c>
    </row>
    <row r="18" spans="1:13" ht="15" thickBot="1" x14ac:dyDescent="0.35">
      <c r="A18">
        <v>1</v>
      </c>
      <c r="B18">
        <v>79</v>
      </c>
      <c r="C18">
        <v>154</v>
      </c>
      <c r="E18" s="2" t="s">
        <v>15</v>
      </c>
      <c r="F18" s="2">
        <v>35</v>
      </c>
      <c r="G18" s="2" t="s">
        <v>15</v>
      </c>
      <c r="H18" s="2">
        <v>35</v>
      </c>
      <c r="J18" s="2" t="s">
        <v>15</v>
      </c>
      <c r="K18" s="2">
        <v>30</v>
      </c>
      <c r="L18" s="2" t="s">
        <v>15</v>
      </c>
      <c r="M18" s="2">
        <v>30</v>
      </c>
    </row>
    <row r="19" spans="1:13" x14ac:dyDescent="0.3">
      <c r="A19">
        <v>1</v>
      </c>
      <c r="B19">
        <v>100</v>
      </c>
      <c r="C19">
        <v>161</v>
      </c>
    </row>
    <row r="20" spans="1:13" x14ac:dyDescent="0.3">
      <c r="A20">
        <v>1</v>
      </c>
      <c r="B20">
        <v>81</v>
      </c>
      <c r="C20">
        <v>150</v>
      </c>
      <c r="E20" s="4" t="s">
        <v>18</v>
      </c>
      <c r="F20" s="4">
        <f>F10/F6</f>
        <v>0.10443687857643792</v>
      </c>
      <c r="G20" s="4" t="s">
        <v>18</v>
      </c>
      <c r="H20" s="4">
        <f>H10/H6</f>
        <v>5.1456974720475918E-2</v>
      </c>
      <c r="J20" s="4" t="s">
        <v>18</v>
      </c>
      <c r="K20" s="4">
        <f>K10/K6</f>
        <v>8.2176644126783813E-2</v>
      </c>
      <c r="L20" s="4" t="s">
        <v>18</v>
      </c>
      <c r="M20" s="4">
        <f>M10/M6</f>
        <v>6.3971415898510756E-2</v>
      </c>
    </row>
    <row r="21" spans="1:13" x14ac:dyDescent="0.3">
      <c r="A21">
        <v>1</v>
      </c>
      <c r="B21">
        <v>93</v>
      </c>
      <c r="C21">
        <v>149</v>
      </c>
      <c r="E21" t="s">
        <v>19</v>
      </c>
      <c r="F21" s="5">
        <f>_xlfn.QUARTILE.EXC(B2:B36,1)</f>
        <v>78</v>
      </c>
      <c r="G21" t="s">
        <v>19</v>
      </c>
      <c r="H21">
        <f>_xlfn.QUARTILE.EXC(C2:C36,1)</f>
        <v>146</v>
      </c>
      <c r="J21" t="s">
        <v>19</v>
      </c>
      <c r="K21">
        <f>_xlfn.QUARTILE.EXC(B37:B66,1)</f>
        <v>83.25</v>
      </c>
      <c r="L21" t="s">
        <v>19</v>
      </c>
      <c r="M21">
        <f>_xlfn.QUARTILE.EXC(C37:C66,1)</f>
        <v>160.75</v>
      </c>
    </row>
    <row r="22" spans="1:13" x14ac:dyDescent="0.3">
      <c r="A22">
        <v>1</v>
      </c>
      <c r="B22">
        <v>75</v>
      </c>
      <c r="C22">
        <v>148</v>
      </c>
      <c r="E22" t="s">
        <v>20</v>
      </c>
      <c r="F22">
        <f>_xlfn.QUARTILE.EXC(B2:B36,3)</f>
        <v>91</v>
      </c>
      <c r="G22" t="s">
        <v>20</v>
      </c>
      <c r="H22">
        <f>_xlfn.QUARTILE.EXC(C2:C36,3)</f>
        <v>155</v>
      </c>
      <c r="J22" t="s">
        <v>20</v>
      </c>
      <c r="K22">
        <f>_xlfn.QUARTILE.EXC(B37:B66,3)</f>
        <v>94.25</v>
      </c>
      <c r="L22" t="s">
        <v>20</v>
      </c>
      <c r="M22">
        <f>_xlfn.QUARTILE.EXC(C37:C66,3)</f>
        <v>180.25</v>
      </c>
    </row>
    <row r="23" spans="1:13" x14ac:dyDescent="0.3">
      <c r="A23">
        <v>1</v>
      </c>
      <c r="B23">
        <v>89</v>
      </c>
      <c r="C23">
        <v>165</v>
      </c>
      <c r="E23" s="6" t="s">
        <v>21</v>
      </c>
      <c r="F23" s="6">
        <f>F22-F21</f>
        <v>13</v>
      </c>
      <c r="G23" s="6" t="s">
        <v>21</v>
      </c>
      <c r="H23" s="6">
        <f>H22-H21</f>
        <v>9</v>
      </c>
      <c r="J23" s="6" t="s">
        <v>21</v>
      </c>
      <c r="K23" s="6">
        <f>K22-K21</f>
        <v>11</v>
      </c>
      <c r="L23" s="6" t="s">
        <v>21</v>
      </c>
      <c r="M23" s="6">
        <f>M22-M21</f>
        <v>19.5</v>
      </c>
    </row>
    <row r="24" spans="1:13" x14ac:dyDescent="0.3">
      <c r="A24">
        <v>1</v>
      </c>
      <c r="B24">
        <v>76</v>
      </c>
      <c r="C24">
        <v>144</v>
      </c>
    </row>
    <row r="25" spans="1:13" x14ac:dyDescent="0.3">
      <c r="A25">
        <v>1</v>
      </c>
      <c r="B25">
        <v>85</v>
      </c>
      <c r="C25">
        <v>149</v>
      </c>
    </row>
    <row r="26" spans="1:13" x14ac:dyDescent="0.3">
      <c r="A26">
        <v>1</v>
      </c>
      <c r="B26">
        <v>99</v>
      </c>
      <c r="C26">
        <v>160</v>
      </c>
    </row>
    <row r="27" spans="1:13" x14ac:dyDescent="0.3">
      <c r="A27">
        <v>1</v>
      </c>
      <c r="B27">
        <v>79</v>
      </c>
      <c r="C27">
        <v>145</v>
      </c>
    </row>
    <row r="28" spans="1:13" x14ac:dyDescent="0.3">
      <c r="A28">
        <v>1</v>
      </c>
      <c r="B28">
        <v>90</v>
      </c>
      <c r="C28">
        <v>148</v>
      </c>
    </row>
    <row r="29" spans="1:13" x14ac:dyDescent="0.3">
      <c r="A29">
        <v>1</v>
      </c>
      <c r="B29">
        <v>86</v>
      </c>
      <c r="C29">
        <v>150</v>
      </c>
    </row>
    <row r="30" spans="1:13" x14ac:dyDescent="0.3">
      <c r="A30">
        <v>1</v>
      </c>
      <c r="B30">
        <v>94</v>
      </c>
      <c r="C30">
        <v>152</v>
      </c>
    </row>
    <row r="31" spans="1:13" x14ac:dyDescent="0.3">
      <c r="A31">
        <v>1</v>
      </c>
      <c r="B31">
        <v>91</v>
      </c>
      <c r="C31">
        <v>155</v>
      </c>
    </row>
    <row r="32" spans="1:13" x14ac:dyDescent="0.3">
      <c r="A32">
        <v>1</v>
      </c>
      <c r="B32">
        <v>82</v>
      </c>
      <c r="C32">
        <v>145</v>
      </c>
    </row>
    <row r="33" spans="1:3" x14ac:dyDescent="0.3">
      <c r="A33">
        <v>1</v>
      </c>
      <c r="B33">
        <v>81</v>
      </c>
      <c r="C33">
        <v>150</v>
      </c>
    </row>
    <row r="34" spans="1:3" x14ac:dyDescent="0.3">
      <c r="A34">
        <v>1</v>
      </c>
      <c r="B34">
        <v>97</v>
      </c>
      <c r="C34">
        <v>159</v>
      </c>
    </row>
    <row r="35" spans="1:3" x14ac:dyDescent="0.3">
      <c r="A35">
        <v>1</v>
      </c>
      <c r="B35">
        <v>75</v>
      </c>
      <c r="C35">
        <v>149</v>
      </c>
    </row>
    <row r="36" spans="1:3" x14ac:dyDescent="0.3">
      <c r="A36">
        <v>1</v>
      </c>
      <c r="B36">
        <v>79</v>
      </c>
      <c r="C36">
        <v>146</v>
      </c>
    </row>
    <row r="37" spans="1:3" x14ac:dyDescent="0.3">
      <c r="A37">
        <v>2</v>
      </c>
      <c r="B37">
        <v>94</v>
      </c>
      <c r="C37">
        <v>180</v>
      </c>
    </row>
    <row r="38" spans="1:3" x14ac:dyDescent="0.3">
      <c r="A38">
        <v>2</v>
      </c>
      <c r="B38">
        <v>96</v>
      </c>
      <c r="C38">
        <v>166</v>
      </c>
    </row>
    <row r="39" spans="1:3" x14ac:dyDescent="0.3">
      <c r="A39">
        <v>2</v>
      </c>
      <c r="B39">
        <v>93</v>
      </c>
      <c r="C39">
        <v>190</v>
      </c>
    </row>
    <row r="40" spans="1:3" x14ac:dyDescent="0.3">
      <c r="A40">
        <v>2</v>
      </c>
      <c r="B40">
        <v>88</v>
      </c>
      <c r="C40">
        <v>174</v>
      </c>
    </row>
    <row r="41" spans="1:3" x14ac:dyDescent="0.3">
      <c r="A41">
        <v>2</v>
      </c>
      <c r="B41">
        <v>79</v>
      </c>
      <c r="C41">
        <v>156</v>
      </c>
    </row>
    <row r="42" spans="1:3" x14ac:dyDescent="0.3">
      <c r="A42">
        <v>2</v>
      </c>
      <c r="B42">
        <v>79</v>
      </c>
      <c r="C42">
        <v>184</v>
      </c>
    </row>
    <row r="43" spans="1:3" x14ac:dyDescent="0.3">
      <c r="A43">
        <v>2</v>
      </c>
      <c r="B43">
        <v>90</v>
      </c>
      <c r="C43">
        <v>159</v>
      </c>
    </row>
    <row r="44" spans="1:3" x14ac:dyDescent="0.3">
      <c r="A44">
        <v>2</v>
      </c>
      <c r="B44">
        <v>102</v>
      </c>
      <c r="C44">
        <v>161</v>
      </c>
    </row>
    <row r="45" spans="1:3" x14ac:dyDescent="0.3">
      <c r="A45">
        <v>2</v>
      </c>
      <c r="B45">
        <v>104</v>
      </c>
      <c r="C45">
        <v>182</v>
      </c>
    </row>
    <row r="46" spans="1:3" x14ac:dyDescent="0.3">
      <c r="A46">
        <v>2</v>
      </c>
      <c r="B46">
        <v>86</v>
      </c>
      <c r="C46">
        <v>170</v>
      </c>
    </row>
    <row r="47" spans="1:3" x14ac:dyDescent="0.3">
      <c r="A47">
        <v>2</v>
      </c>
      <c r="B47">
        <v>89</v>
      </c>
      <c r="C47">
        <v>197</v>
      </c>
    </row>
    <row r="48" spans="1:3" x14ac:dyDescent="0.3">
      <c r="A48">
        <v>2</v>
      </c>
      <c r="B48">
        <v>81</v>
      </c>
      <c r="C48">
        <v>179</v>
      </c>
    </row>
    <row r="49" spans="1:3" x14ac:dyDescent="0.3">
      <c r="A49">
        <v>2</v>
      </c>
      <c r="B49">
        <v>80</v>
      </c>
      <c r="C49">
        <v>183</v>
      </c>
    </row>
    <row r="50" spans="1:3" x14ac:dyDescent="0.3">
      <c r="A50">
        <v>2</v>
      </c>
      <c r="B50">
        <v>90</v>
      </c>
      <c r="C50">
        <v>178</v>
      </c>
    </row>
    <row r="51" spans="1:3" x14ac:dyDescent="0.3">
      <c r="A51">
        <v>2</v>
      </c>
      <c r="B51">
        <v>91</v>
      </c>
      <c r="C51">
        <v>169</v>
      </c>
    </row>
    <row r="52" spans="1:3" x14ac:dyDescent="0.3">
      <c r="A52">
        <v>2</v>
      </c>
      <c r="B52">
        <v>88</v>
      </c>
      <c r="C52">
        <v>172</v>
      </c>
    </row>
    <row r="53" spans="1:3" x14ac:dyDescent="0.3">
      <c r="A53">
        <v>2</v>
      </c>
      <c r="B53">
        <v>77</v>
      </c>
      <c r="C53">
        <v>152</v>
      </c>
    </row>
    <row r="54" spans="1:3" x14ac:dyDescent="0.3">
      <c r="A54">
        <v>2</v>
      </c>
      <c r="B54">
        <v>96</v>
      </c>
      <c r="C54">
        <v>181</v>
      </c>
    </row>
    <row r="55" spans="1:3" x14ac:dyDescent="0.3">
      <c r="A55">
        <v>2</v>
      </c>
      <c r="B55">
        <v>81</v>
      </c>
      <c r="C55">
        <v>160</v>
      </c>
    </row>
    <row r="56" spans="1:3" x14ac:dyDescent="0.3">
      <c r="A56">
        <v>2</v>
      </c>
      <c r="B56">
        <v>94</v>
      </c>
      <c r="C56">
        <v>160</v>
      </c>
    </row>
    <row r="57" spans="1:3" x14ac:dyDescent="0.3">
      <c r="A57">
        <v>2</v>
      </c>
      <c r="B57">
        <v>90</v>
      </c>
      <c r="C57">
        <v>158</v>
      </c>
    </row>
    <row r="58" spans="1:3" x14ac:dyDescent="0.3">
      <c r="A58">
        <v>2</v>
      </c>
      <c r="B58">
        <v>100</v>
      </c>
      <c r="C58">
        <v>164</v>
      </c>
    </row>
    <row r="59" spans="1:3" x14ac:dyDescent="0.3">
      <c r="A59">
        <v>2</v>
      </c>
      <c r="B59">
        <v>88</v>
      </c>
      <c r="C59">
        <v>172</v>
      </c>
    </row>
    <row r="60" spans="1:3" x14ac:dyDescent="0.3">
      <c r="A60">
        <v>2</v>
      </c>
      <c r="B60">
        <v>77</v>
      </c>
      <c r="C60">
        <v>174</v>
      </c>
    </row>
    <row r="61" spans="1:3" x14ac:dyDescent="0.3">
      <c r="A61">
        <v>2</v>
      </c>
      <c r="B61">
        <v>91</v>
      </c>
      <c r="C61">
        <v>172</v>
      </c>
    </row>
    <row r="62" spans="1:3" x14ac:dyDescent="0.3">
      <c r="A62">
        <v>2</v>
      </c>
      <c r="B62">
        <v>95</v>
      </c>
      <c r="C62">
        <v>169</v>
      </c>
    </row>
    <row r="63" spans="1:3" x14ac:dyDescent="0.3">
      <c r="A63">
        <v>2</v>
      </c>
      <c r="B63">
        <v>99</v>
      </c>
      <c r="C63">
        <v>172</v>
      </c>
    </row>
    <row r="64" spans="1:3" x14ac:dyDescent="0.3">
      <c r="A64">
        <v>2</v>
      </c>
      <c r="B64">
        <v>88</v>
      </c>
      <c r="C64">
        <v>173</v>
      </c>
    </row>
    <row r="65" spans="1:10" x14ac:dyDescent="0.3">
      <c r="A65">
        <v>2</v>
      </c>
      <c r="B65">
        <v>84</v>
      </c>
      <c r="C65">
        <v>188</v>
      </c>
    </row>
    <row r="66" spans="1:10" x14ac:dyDescent="0.3">
      <c r="A66">
        <v>2</v>
      </c>
      <c r="B66">
        <v>92</v>
      </c>
      <c r="C66">
        <v>160</v>
      </c>
    </row>
    <row r="67" spans="1:10" ht="15" thickBot="1" x14ac:dyDescent="0.35"/>
    <row r="68" spans="1:10" x14ac:dyDescent="0.3">
      <c r="E68" s="7" t="s">
        <v>22</v>
      </c>
      <c r="F68" s="7"/>
    </row>
    <row r="69" spans="1:10" x14ac:dyDescent="0.3">
      <c r="E69" t="s">
        <v>23</v>
      </c>
      <c r="F69">
        <v>0.79640525668411322</v>
      </c>
    </row>
    <row r="70" spans="1:10" x14ac:dyDescent="0.3">
      <c r="E70" t="s">
        <v>24</v>
      </c>
      <c r="F70">
        <v>0.63426133287408826</v>
      </c>
      <c r="G70">
        <f>1-F70</f>
        <v>0.36573866712591174</v>
      </c>
    </row>
    <row r="71" spans="1:10" x14ac:dyDescent="0.3">
      <c r="E71" t="s">
        <v>25</v>
      </c>
      <c r="F71">
        <v>0.6231783429611818</v>
      </c>
    </row>
    <row r="72" spans="1:10" x14ac:dyDescent="0.3">
      <c r="E72" t="s">
        <v>4</v>
      </c>
      <c r="F72">
        <v>4.7507263295882058</v>
      </c>
    </row>
    <row r="73" spans="1:10" ht="15" thickBot="1" x14ac:dyDescent="0.35">
      <c r="E73" s="2" t="s">
        <v>26</v>
      </c>
      <c r="F73" s="2">
        <v>35</v>
      </c>
    </row>
    <row r="75" spans="1:10" ht="15" thickBot="1" x14ac:dyDescent="0.35">
      <c r="E75" t="s">
        <v>27</v>
      </c>
    </row>
    <row r="76" spans="1:10" x14ac:dyDescent="0.3">
      <c r="E76" s="3"/>
      <c r="F76" s="3" t="s">
        <v>32</v>
      </c>
      <c r="G76" s="3" t="s">
        <v>33</v>
      </c>
      <c r="H76" s="3" t="s">
        <v>34</v>
      </c>
      <c r="I76" s="3" t="s">
        <v>35</v>
      </c>
      <c r="J76" s="3" t="s">
        <v>36</v>
      </c>
    </row>
    <row r="77" spans="1:10" x14ac:dyDescent="0.3">
      <c r="E77" t="s">
        <v>28</v>
      </c>
      <c r="F77">
        <v>1</v>
      </c>
      <c r="G77">
        <v>1291.6097782647935</v>
      </c>
      <c r="H77">
        <v>1291.6097782647935</v>
      </c>
      <c r="I77">
        <v>57.228359662718383</v>
      </c>
      <c r="J77">
        <v>1.0560420013792869E-8</v>
      </c>
    </row>
    <row r="78" spans="1:10" x14ac:dyDescent="0.3">
      <c r="E78" t="s">
        <v>29</v>
      </c>
      <c r="F78">
        <v>33</v>
      </c>
      <c r="G78">
        <v>744.79022173520673</v>
      </c>
      <c r="H78">
        <v>22.569400658642628</v>
      </c>
    </row>
    <row r="79" spans="1:10" ht="15" thickBot="1" x14ac:dyDescent="0.35">
      <c r="E79" s="2" t="s">
        <v>30</v>
      </c>
      <c r="F79" s="2">
        <v>34</v>
      </c>
      <c r="G79" s="2">
        <v>2036.4</v>
      </c>
      <c r="H79" s="2"/>
      <c r="I79" s="2"/>
      <c r="J79" s="2"/>
    </row>
    <row r="80" spans="1:10" ht="15" thickBot="1" x14ac:dyDescent="0.35"/>
    <row r="81" spans="5:13" x14ac:dyDescent="0.3">
      <c r="E81" s="3"/>
      <c r="F81" s="3" t="s">
        <v>37</v>
      </c>
      <c r="G81" s="3" t="s">
        <v>4</v>
      </c>
      <c r="H81" s="3" t="s">
        <v>38</v>
      </c>
      <c r="I81" s="3" t="s">
        <v>39</v>
      </c>
      <c r="J81" s="3" t="s">
        <v>40</v>
      </c>
      <c r="K81" s="3" t="s">
        <v>41</v>
      </c>
      <c r="L81" s="3" t="s">
        <v>42</v>
      </c>
      <c r="M81" s="3" t="s">
        <v>43</v>
      </c>
    </row>
    <row r="82" spans="5:13" x14ac:dyDescent="0.3">
      <c r="E82" t="s">
        <v>31</v>
      </c>
      <c r="F82">
        <v>91.38365347428126</v>
      </c>
      <c r="G82">
        <v>7.8425146170905489</v>
      </c>
      <c r="H82">
        <v>11.652340854441809</v>
      </c>
      <c r="I82">
        <v>3.0794834542374844E-13</v>
      </c>
      <c r="J82">
        <v>75.427937515340489</v>
      </c>
      <c r="K82">
        <v>107.33936943322203</v>
      </c>
      <c r="L82">
        <v>75.427937515340489</v>
      </c>
      <c r="M82">
        <v>107.33936943322203</v>
      </c>
    </row>
    <row r="83" spans="5:13" ht="15" thickBot="1" x14ac:dyDescent="0.35">
      <c r="E83" s="2" t="s">
        <v>1</v>
      </c>
      <c r="F83" s="2">
        <v>0.69688668299600398</v>
      </c>
      <c r="G83" s="2">
        <v>9.2120548805056837E-2</v>
      </c>
      <c r="H83" s="2">
        <v>7.5649428063084798</v>
      </c>
      <c r="I83" s="2">
        <v>1.0560420013792795E-8</v>
      </c>
      <c r="J83" s="2">
        <v>0.50946601724268736</v>
      </c>
      <c r="K83" s="2">
        <v>0.8843073487493206</v>
      </c>
      <c r="L83" s="2">
        <v>0.50946601724268736</v>
      </c>
      <c r="M83" s="2">
        <v>0.8843073487493206</v>
      </c>
    </row>
    <row r="85" spans="5:13" x14ac:dyDescent="0.3">
      <c r="E85" s="8" t="s">
        <v>44</v>
      </c>
      <c r="F85" s="8">
        <f>_xlfn.COVARIANCE.S(B2:B36,C2:C36)</f>
        <v>54.511764705882356</v>
      </c>
    </row>
  </sheetData>
  <sortState xmlns:xlrd2="http://schemas.microsoft.com/office/spreadsheetml/2017/richdata2" ref="O3:O37">
    <sortCondition ref="O3:O37"/>
  </sortState>
  <mergeCells count="2">
    <mergeCell ref="E2:H2"/>
    <mergeCell ref="J2:M2"/>
  </mergeCells>
  <pageMargins left="0.7" right="0.7" top="0.75" bottom="0.75" header="0.3" footer="0.3"/>
  <pageSetup paperSize="9" orientation="portrait" r:id="rId1"/>
  <ignoredErrors>
    <ignoredError sqref="M21:M22 F21:F22 H21:H22 K21:K22 F85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DCBE-EA55-447A-8BF3-BD4D81D001FC}">
  <dimension ref="A1:B30"/>
  <sheetViews>
    <sheetView topLeftCell="A7" workbookViewId="0">
      <selection activeCell="F7" sqref="F1:U1048576"/>
    </sheetView>
  </sheetViews>
  <sheetFormatPr baseColWidth="10" defaultRowHeight="14.4" x14ac:dyDescent="0.3"/>
  <sheetData>
    <row r="1" spans="1:2" x14ac:dyDescent="0.3">
      <c r="A1">
        <v>94</v>
      </c>
      <c r="B1">
        <v>180</v>
      </c>
    </row>
    <row r="2" spans="1:2" x14ac:dyDescent="0.3">
      <c r="A2">
        <v>96</v>
      </c>
      <c r="B2">
        <v>166</v>
      </c>
    </row>
    <row r="3" spans="1:2" x14ac:dyDescent="0.3">
      <c r="A3">
        <v>93</v>
      </c>
      <c r="B3">
        <v>190</v>
      </c>
    </row>
    <row r="4" spans="1:2" x14ac:dyDescent="0.3">
      <c r="A4">
        <v>88</v>
      </c>
      <c r="B4">
        <v>174</v>
      </c>
    </row>
    <row r="5" spans="1:2" x14ac:dyDescent="0.3">
      <c r="A5">
        <v>79</v>
      </c>
      <c r="B5">
        <v>156</v>
      </c>
    </row>
    <row r="6" spans="1:2" x14ac:dyDescent="0.3">
      <c r="A6">
        <v>79</v>
      </c>
      <c r="B6">
        <v>184</v>
      </c>
    </row>
    <row r="7" spans="1:2" x14ac:dyDescent="0.3">
      <c r="A7">
        <v>90</v>
      </c>
      <c r="B7">
        <v>159</v>
      </c>
    </row>
    <row r="8" spans="1:2" x14ac:dyDescent="0.3">
      <c r="A8">
        <v>102</v>
      </c>
      <c r="B8">
        <v>161</v>
      </c>
    </row>
    <row r="9" spans="1:2" x14ac:dyDescent="0.3">
      <c r="A9">
        <v>104</v>
      </c>
      <c r="B9">
        <v>182</v>
      </c>
    </row>
    <row r="10" spans="1:2" x14ac:dyDescent="0.3">
      <c r="A10">
        <v>86</v>
      </c>
      <c r="B10">
        <v>170</v>
      </c>
    </row>
    <row r="11" spans="1:2" x14ac:dyDescent="0.3">
      <c r="A11">
        <v>89</v>
      </c>
      <c r="B11">
        <v>197</v>
      </c>
    </row>
    <row r="12" spans="1:2" x14ac:dyDescent="0.3">
      <c r="A12">
        <v>81</v>
      </c>
      <c r="B12">
        <v>179</v>
      </c>
    </row>
    <row r="13" spans="1:2" x14ac:dyDescent="0.3">
      <c r="A13">
        <v>80</v>
      </c>
      <c r="B13">
        <v>183</v>
      </c>
    </row>
    <row r="14" spans="1:2" x14ac:dyDescent="0.3">
      <c r="A14">
        <v>90</v>
      </c>
      <c r="B14">
        <v>178</v>
      </c>
    </row>
    <row r="15" spans="1:2" x14ac:dyDescent="0.3">
      <c r="A15">
        <v>91</v>
      </c>
      <c r="B15">
        <v>169</v>
      </c>
    </row>
    <row r="16" spans="1:2" x14ac:dyDescent="0.3">
      <c r="A16">
        <v>88</v>
      </c>
      <c r="B16">
        <v>172</v>
      </c>
    </row>
    <row r="17" spans="1:2" x14ac:dyDescent="0.3">
      <c r="A17">
        <v>77</v>
      </c>
      <c r="B17">
        <v>152</v>
      </c>
    </row>
    <row r="18" spans="1:2" x14ac:dyDescent="0.3">
      <c r="A18">
        <v>96</v>
      </c>
      <c r="B18">
        <v>181</v>
      </c>
    </row>
    <row r="19" spans="1:2" x14ac:dyDescent="0.3">
      <c r="A19">
        <v>81</v>
      </c>
      <c r="B19">
        <v>160</v>
      </c>
    </row>
    <row r="20" spans="1:2" x14ac:dyDescent="0.3">
      <c r="A20">
        <v>94</v>
      </c>
      <c r="B20">
        <v>160</v>
      </c>
    </row>
    <row r="21" spans="1:2" x14ac:dyDescent="0.3">
      <c r="A21">
        <v>90</v>
      </c>
      <c r="B21">
        <v>158</v>
      </c>
    </row>
    <row r="22" spans="1:2" x14ac:dyDescent="0.3">
      <c r="A22">
        <v>100</v>
      </c>
      <c r="B22">
        <v>164</v>
      </c>
    </row>
    <row r="23" spans="1:2" x14ac:dyDescent="0.3">
      <c r="A23">
        <v>88</v>
      </c>
      <c r="B23">
        <v>172</v>
      </c>
    </row>
    <row r="24" spans="1:2" x14ac:dyDescent="0.3">
      <c r="A24">
        <v>77</v>
      </c>
      <c r="B24">
        <v>174</v>
      </c>
    </row>
    <row r="25" spans="1:2" x14ac:dyDescent="0.3">
      <c r="A25">
        <v>91</v>
      </c>
      <c r="B25">
        <v>172</v>
      </c>
    </row>
    <row r="26" spans="1:2" x14ac:dyDescent="0.3">
      <c r="A26">
        <v>95</v>
      </c>
      <c r="B26">
        <v>169</v>
      </c>
    </row>
    <row r="27" spans="1:2" x14ac:dyDescent="0.3">
      <c r="A27">
        <v>99</v>
      </c>
      <c r="B27">
        <v>172</v>
      </c>
    </row>
    <row r="28" spans="1:2" x14ac:dyDescent="0.3">
      <c r="A28">
        <v>88</v>
      </c>
      <c r="B28">
        <v>173</v>
      </c>
    </row>
    <row r="29" spans="1:2" x14ac:dyDescent="0.3">
      <c r="A29">
        <v>84</v>
      </c>
      <c r="B29">
        <v>188</v>
      </c>
    </row>
    <row r="30" spans="1:2" x14ac:dyDescent="0.3">
      <c r="A30">
        <v>92</v>
      </c>
      <c r="B30">
        <v>160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LLUNA</dc:creator>
  <cp:lastModifiedBy>Zaida Araque Navarro</cp:lastModifiedBy>
  <dcterms:created xsi:type="dcterms:W3CDTF">2022-08-20T10:23:28Z</dcterms:created>
  <dcterms:modified xsi:type="dcterms:W3CDTF">2026-04-20T16:05:21Z</dcterms:modified>
</cp:coreProperties>
</file>